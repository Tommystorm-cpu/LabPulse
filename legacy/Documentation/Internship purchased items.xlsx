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D:\LabPulse Tommy\LabPulse\legacy\Documentation\"/>
    </mc:Choice>
  </mc:AlternateContent>
  <xr:revisionPtr revIDLastSave="0" documentId="13_ncr:1_{888F2845-F990-4C66-B9E0-2AE4915D700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1" l="1"/>
  <c r="C21" i="1"/>
  <c r="C17" i="1"/>
  <c r="C13" i="1"/>
</calcChain>
</file>

<file path=xl/sharedStrings.xml><?xml version="1.0" encoding="utf-8"?>
<sst xmlns="http://schemas.openxmlformats.org/spreadsheetml/2006/main" count="28" uniqueCount="28">
  <si>
    <t>Item quantity</t>
  </si>
  <si>
    <t>Raspberry Pi 5</t>
  </si>
  <si>
    <t>Arduino Uno</t>
  </si>
  <si>
    <t>DFROBOT SEN057 Pressure Sensor</t>
  </si>
  <si>
    <t>Purchased Item</t>
  </si>
  <si>
    <t>Gravity Water Flow Sensor</t>
  </si>
  <si>
    <t>GE-1337 Water Temp Sensor</t>
  </si>
  <si>
    <t>GE-1337 Connectors</t>
  </si>
  <si>
    <t>Money spent(£):</t>
  </si>
  <si>
    <t>Hex male-female M2.5 adapter</t>
  </si>
  <si>
    <t>GPIO riser header for Pi</t>
  </si>
  <si>
    <t>M2.5 Nylon standoff pack</t>
  </si>
  <si>
    <t>Sim Hat for Raspberry Pi</t>
  </si>
  <si>
    <t>UPS Hat for Raspberry Pi</t>
  </si>
  <si>
    <t>Active cooler</t>
  </si>
  <si>
    <t>Item price (Without VAT)</t>
  </si>
  <si>
    <t>USB A to B 3 metre cable</t>
  </si>
  <si>
    <t>USB A to B 5 metre cable</t>
  </si>
  <si>
    <t>DC Power extension lead 1.5m</t>
  </si>
  <si>
    <t>Bonded Seal Washer Dowty</t>
  </si>
  <si>
    <t>1/2" washer</t>
  </si>
  <si>
    <t>Male R to R 1/2" steel pipe fitting</t>
  </si>
  <si>
    <t>Female G to female G 90 degree elbow</t>
  </si>
  <si>
    <t>Brass compression adapting female coupler</t>
  </si>
  <si>
    <t>BSPT male thread hosetail</t>
  </si>
  <si>
    <t>Stainless steel T pipe</t>
  </si>
  <si>
    <t>USB Hub 4 ports</t>
  </si>
  <si>
    <t>NOTE: The UPS hat was an old model used in a prototype. We have since swapped to https://thepihut.com/products/suptronics-x1200-5-1v-5a-ups-for-raspberry-pi-5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</si>
</sst>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£&quot;* #,##0.00_);_(&quot;£&quot;* \(#,##0.00\);_(&quot;£&quot;* &quot;-&quot;??_);_(@_)"/>
  </numFmts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164" fontId="0" fillId="0" borderId="0" xfId="0" applyNumberFormat="1"/>
    <xf numFmtId="0" fontId="2" fillId="2" borderId="0" xfId="0" applyFont="1" applyFill="1"/>
    <xf numFmtId="164" fontId="0" fillId="3" borderId="0" xfId="0" applyNumberFormat="1" applyFill="1"/>
  </cellXfs>
  <cellStyles count="2">
    <cellStyle name="Hyperlink" xfId="1" builtinId="8"/>
    <cellStyle name="Normal" xfId="0" builtinId="0"/>
  </cellStyles>
  <dxfs count="1">
    <dxf>
      <numFmt numFmtId="164" formatCode="_(&quot;£&quot;* #,##0.00_);_(&quot;£&quot;* \(#,##0.00\);_(&quot;£&quot;* &quot;-&quot;??_);_(@_)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EECCEE-FE1C-0143-BDD1-16A53005EB70}" name="Table1" displayName="Table1" ref="A1:C27" totalsRowShown="0">
  <autoFilter ref="A1:C27" xr:uid="{64EECCEE-FE1C-0143-BDD1-16A53005EB70}"/>
  <tableColumns count="3">
    <tableColumn id="1" xr3:uid="{B2CAF2E6-DB46-2946-93AA-1FFD95427D09}" name="Purchased Item"/>
    <tableColumn id="3" xr3:uid="{AC254445-8F1F-4A41-AFB9-E3C603D299F3}" name="Item quantity"/>
    <tableColumn id="4" xr3:uid="{1B4E3058-7AED-1044-9F9D-C13DD1C9CE29}" name="Item price (Without VAT)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hepihut.com/products/gpio-riser-header-for-raspberry-pi" TargetMode="External"/><Relationship Id="rId13" Type="http://schemas.openxmlformats.org/officeDocument/2006/relationships/hyperlink" Target="https://eproc-onecall.farnell.com/pro-elec/psg02087/lead-dc-extension-2-5mm-1-5m/dp/PW01907" TargetMode="External"/><Relationship Id="rId18" Type="http://schemas.openxmlformats.org/officeDocument/2006/relationships/hyperlink" Target="https://uk.rs-online.com/web/p/stainless-steel-pipe-fittings/4993041" TargetMode="External"/><Relationship Id="rId3" Type="http://schemas.openxmlformats.org/officeDocument/2006/relationships/hyperlink" Target="https://www.tme.eu/gb/details/df-sen0257/environmental-sensors/dfrobot/sen0257/?brutto=1&amp;currency=GBP&amp;utm_source=google&amp;utm_medium=cpc&amp;utm_campaign=WIELKA%20BRYTANIA%20%5BPLA%5D%20CSS&amp;gad_source=1&amp;gad_campaignid=9758607801&amp;gbraid=0AAAAADyylhIuEUs4eLR79AMaPyBGZ2fVv&amp;gclid=CjwKCAjwmenCBhA4EiwAtVjzmnKC1e6mSChJguNe8LztK3x1vOJUmXiCgjzzYEqpPacVEbv1rEZcghoCdA0QAvD_BwE" TargetMode="External"/><Relationship Id="rId21" Type="http://schemas.openxmlformats.org/officeDocument/2006/relationships/hyperlink" Target="https://www.thehosemaster.co.uk/products/combination-nipples?pr_prod_strat=e5_desc&amp;pr_rec_id=a34660fca&amp;pr_rec_pid=10547620741451&amp;pr_ref_pid=10547620413771&amp;pr_seq=uniform" TargetMode="External"/><Relationship Id="rId7" Type="http://schemas.openxmlformats.org/officeDocument/2006/relationships/hyperlink" Target="https://uk.farnell.com/wurth-elektronik/971160151/standoff-hex-male-female-16mm/dp/2884407" TargetMode="External"/><Relationship Id="rId12" Type="http://schemas.openxmlformats.org/officeDocument/2006/relationships/hyperlink" Target="https://thepihut.com/products/uninterruptible-power-supply-ups-hat-a-for-raspberry-pi?srsltid=AfmBOooE2G-9sTwht1j0hT4MP4JCyJco_B_0NSc1JTt1SgEOi1OajkKk" TargetMode="External"/><Relationship Id="rId17" Type="http://schemas.openxmlformats.org/officeDocument/2006/relationships/hyperlink" Target="https://www.bes.co.uk/1-2in-thread-washer-speedfit-16817/" TargetMode="External"/><Relationship Id="rId2" Type="http://schemas.openxmlformats.org/officeDocument/2006/relationships/hyperlink" Target="https://thepihut.com/products/arduino-uno-rev-3?variant=32106770530366&amp;country=GB&amp;currency=GBP&amp;utm_medium=product_sync&amp;utm_source=google&amp;utm_content=sag_organic&amp;utm_campaign=sag_organic&amp;gad_source=1&amp;gad_campaignid=22549809780&amp;gbraid=0AAAAADfQ4GG68R2IXW_4-eGdE6ewvEJQE&amp;gclid=Cj0KCQjwjo7DBhCrARIsACWauSnnZB3LwBbPwf6bsxfORc_8LTct4NBjwPaA2ie2q2ajTzoFmRTP1I4aAj2REALw_wcB" TargetMode="External"/><Relationship Id="rId16" Type="http://schemas.openxmlformats.org/officeDocument/2006/relationships/hyperlink" Target="https://www.amazon.co.uk/Bonded-Washer-Hydraulic-CHOOSE-QUANTITY/dp/B0BQGW8TBZ/ref=asc_df_B0BQGTXDRP?mcid=2f01532979483e3c8f6b84792d73b856&amp;hvocijid=11008493223743279627-B0BQGTXDRP-&amp;hvexpln=74&amp;tag=googshopuk-21&amp;linkCode=df0&amp;hvadid=696285193871&amp;hvpos=&amp;hvnetw=g&amp;hvrand=11008493223743279627&amp;hvpone=&amp;hvptwo=&amp;hvqmt=&amp;hvdev=c&amp;hvdvcmdl=&amp;hvlocint=&amp;hvlocphy=9192933&amp;hvtargid=pla-2281435176938&amp;gad_source=1&amp;th=1" TargetMode="External"/><Relationship Id="rId20" Type="http://schemas.openxmlformats.org/officeDocument/2006/relationships/hyperlink" Target="https://www.screwfix.com/p/flomasta-brass-compression-adapting-female-coupler-22mm-x-1-2-/89654" TargetMode="External"/><Relationship Id="rId1" Type="http://schemas.openxmlformats.org/officeDocument/2006/relationships/hyperlink" Target="https://cpc.farnell.com/raspberry-pi/rpi5-8gb-single/raspberry-pi-5-8gb/dp/SC20211?mckv=sshopping_dc%7Cpcrid%7C605262956803%7Ckword%7C%7Cmatch%7C%7Cplid%7C%7Cslid%7C%7Cproduct%7CSC20211%7Cpgrid%7C138313687415%7Cptaid%7Cpla-2348349453042%7C&amp;CMP=KNC-GUK-CPC-SHOPPING-9262013734-138313687415-SC20211&amp;s_kwcid=AL!5616!3!605262956803!!!network%7D!2348349453042!&amp;gad_source=1&amp;gad_campaignid=9262013734&amp;gbraid=0AAAAAD_m6B1c_dVGPqJTTThlAtDm6QeXo&amp;gclid=Cj0KCQjwjo7DBhCrARIsACWauSnqI4f58vZom-5U8jbeCF0ceStvUyTVoSAcn_-ek_Z9FWpqO8rm-bUaAm3NEALw_wcB" TargetMode="External"/><Relationship Id="rId6" Type="http://schemas.openxmlformats.org/officeDocument/2006/relationships/hyperlink" Target="https://uk.rs-online.com/web/p/automotive-connectors/8011017" TargetMode="External"/><Relationship Id="rId11" Type="http://schemas.openxmlformats.org/officeDocument/2006/relationships/hyperlink" Target="https://thepihut.com/products/active-cooler-for-raspberry-pi-5" TargetMode="External"/><Relationship Id="rId24" Type="http://schemas.openxmlformats.org/officeDocument/2006/relationships/table" Target="../tables/table1.xml"/><Relationship Id="rId5" Type="http://schemas.openxmlformats.org/officeDocument/2006/relationships/hyperlink" Target="https://www.digikey.co.uk/en/products/detail/amphenol-advanced-sensors/GE-1337/11562202?srsltid=AfmBOoqzofx_izIZ5QBkJ60jP04lufKNUBuP3jy--5HIO5CHVfk_FgUc" TargetMode="External"/><Relationship Id="rId15" Type="http://schemas.openxmlformats.org/officeDocument/2006/relationships/hyperlink" Target="https://cpc.farnell.com/pro-signal/psg91414/lead-usb20-a-male-b-male-black-5m/dp/CS30609?mckv=sshopping_dc%7Cpcrid%7C491098866158%7Ckword%7C%7Cmatch%7C%7Cplid%7C%7Cslid%7C%7Cproduct%7CCS30609%7Cpgrid%7C100371159038%7Cptaid%7Cpla-1160519293405%7C&amp;CMP=KNC-GUK-CPC-SHOPPING-9262013734-100371159038-CS30609&amp;s_kwcid=AL!5616!3!491098866158!!!network%7D!1160519293405!&amp;gad_source=1&amp;gad_campaignid=9262013734&amp;gbraid=0AAAAAD_m6B0JStoTCgGccrfRKWuhQvC36&amp;gclid=EAIaIQobChMI963YqM3QjgMVA5FQBh0DTwF-EAQYASABEgK82PD_BwE" TargetMode="External"/><Relationship Id="rId23" Type="http://schemas.openxmlformats.org/officeDocument/2006/relationships/hyperlink" Target="https://cpc.farnell.com/gembird/uhb-u2p4-04/hub-usb-a-to-4xusb-a-black/dp/CS37130?mckv=sshopping_dc%7Cpcrid%7C718471179344%7Ckword%7C%7Cmatch%7C%7Cplid%7C%7Cslid%7C%7Cproduct%7CCS37130%7Cpgrid%7C177876567508%7Cptaid%7Cpla-2370235572452%7C&amp;CMP=KNC-GUK-CPC-SHOPPING-9262013734-177876567508-CS37130&amp;s_kwcid=AL!5616!3!718471179344!!!network%7D!2370235572452!&amp;gad_source=1&amp;gad_campaignid=9262013734&amp;gbraid=0AAAAAD_m6B0NwZMhBbIDmQvWZrrQ4Kmju&amp;gclid=EAIaIQobChMIvreGvsDfjgMVN5lQBh0cuylgEAQYASABEgK3IvD_BwE" TargetMode="External"/><Relationship Id="rId10" Type="http://schemas.openxmlformats.org/officeDocument/2006/relationships/hyperlink" Target="https://thepihut.com/products/sim7600e-h-4g-hat-for-raspberry-pi-lte-cat-4" TargetMode="External"/><Relationship Id="rId19" Type="http://schemas.openxmlformats.org/officeDocument/2006/relationships/hyperlink" Target="https://uk.rs-online.com/web/p/stainless-steel-pipe-fittings/4992953" TargetMode="External"/><Relationship Id="rId4" Type="http://schemas.openxmlformats.org/officeDocument/2006/relationships/hyperlink" Target="https://thepihut.com/products/gravity-water-flow-sensor-1-2-for-arduino?variant=27741033041&amp;country=GB&amp;currency=GBP&amp;utm_medium=product_sync&amp;utm_source=google&amp;utm_content=sag_organic&amp;utm_campaign=sag_organic&amp;srsltid=AfmBOopjKvYye-6dbnUH9NQVi1DC_wvSV4uvfdMuu5jxDptHc8Uycw4onlw&amp;gQT=1" TargetMode="External"/><Relationship Id="rId9" Type="http://schemas.openxmlformats.org/officeDocument/2006/relationships/hyperlink" Target="https://thepihut.com/products/m2-5-nylon-standoff-packs?variant=41056882491587" TargetMode="External"/><Relationship Id="rId14" Type="http://schemas.openxmlformats.org/officeDocument/2006/relationships/hyperlink" Target="https://cpc.farnell.com/pro-signal/psg91413/lead-usb20-a-male-b-male-black-3m/dp/CS30608?mckv=sshopping_dc%7Cpcrid%7C491098866158%7Ckword%7C%7Cmatch%7C%7Cplid%7C%7Cslid%7C%7Cproduct%7CCS30608%7Cpgrid%7C100371159038%7Cptaid%7Cpla-1160519293405%7C&amp;CMP=KNC-GUK-CPC-SHOPPING-9262013734-100371159038-CS30608&amp;s_kwcid=AL!5616!3!491098866158!!!network%7D!1160519293405!&amp;gad_source=1&amp;gad_campaignid=9262013734&amp;gbraid=0AAAAAD_m6B2urWpbQuwpc-mUy-KR0KLZP&amp;gclid=EAIaIQobChMIuNnu3NDQjgMVbpNQBh2A9hoUEAQYAiABEgJlSPD_BwE" TargetMode="External"/><Relationship Id="rId22" Type="http://schemas.openxmlformats.org/officeDocument/2006/relationships/hyperlink" Target="https://uk.rs-online.com/web/p/stainless-steel-pipe-fittings/49929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zoomScale="150" workbookViewId="0">
      <selection activeCell="E15" sqref="E15"/>
    </sheetView>
  </sheetViews>
  <sheetFormatPr defaultColWidth="8.85546875" defaultRowHeight="15" x14ac:dyDescent="0.25"/>
  <cols>
    <col min="1" max="1" width="34.7109375" bestFit="1" customWidth="1"/>
    <col min="2" max="2" width="12.42578125" bestFit="1" customWidth="1"/>
    <col min="3" max="3" width="22.7109375" bestFit="1" customWidth="1"/>
    <col min="5" max="5" width="13.7109375" bestFit="1" customWidth="1"/>
  </cols>
  <sheetData>
    <row r="1" spans="1:5" x14ac:dyDescent="0.25">
      <c r="A1" t="s">
        <v>4</v>
      </c>
      <c r="B1" t="s">
        <v>0</v>
      </c>
      <c r="C1" t="s">
        <v>15</v>
      </c>
      <c r="E1" s="3" t="s">
        <v>8</v>
      </c>
    </row>
    <row r="2" spans="1:5" x14ac:dyDescent="0.25">
      <c r="A2" s="1" t="s">
        <v>1</v>
      </c>
      <c r="B2">
        <v>1</v>
      </c>
      <c r="C2" s="2">
        <v>62.95</v>
      </c>
      <c r="E2" s="4">
        <f>SUMPRODUCT(B2:B27,C2:C27)</f>
        <v>529.7116666666667</v>
      </c>
    </row>
    <row r="3" spans="1:5" x14ac:dyDescent="0.25">
      <c r="A3" s="1" t="s">
        <v>2</v>
      </c>
      <c r="B3">
        <v>3</v>
      </c>
      <c r="C3" s="2">
        <v>24.5</v>
      </c>
    </row>
    <row r="4" spans="1:5" x14ac:dyDescent="0.25">
      <c r="A4" s="1" t="s">
        <v>3</v>
      </c>
      <c r="B4">
        <v>1</v>
      </c>
      <c r="C4" s="2">
        <v>22.27</v>
      </c>
    </row>
    <row r="5" spans="1:5" x14ac:dyDescent="0.25">
      <c r="A5" s="1" t="s">
        <v>5</v>
      </c>
      <c r="B5">
        <v>4</v>
      </c>
      <c r="C5" s="2">
        <v>7.17</v>
      </c>
    </row>
    <row r="6" spans="1:5" x14ac:dyDescent="0.25">
      <c r="A6" s="1" t="s">
        <v>6</v>
      </c>
      <c r="B6">
        <v>8</v>
      </c>
      <c r="C6" s="2">
        <v>7.38</v>
      </c>
    </row>
    <row r="7" spans="1:5" x14ac:dyDescent="0.25">
      <c r="A7" s="1" t="s">
        <v>7</v>
      </c>
      <c r="B7">
        <v>8</v>
      </c>
      <c r="C7" s="2">
        <v>1.58</v>
      </c>
    </row>
    <row r="8" spans="1:5" x14ac:dyDescent="0.25">
      <c r="A8" s="1" t="s">
        <v>9</v>
      </c>
      <c r="B8">
        <v>8</v>
      </c>
      <c r="C8" s="2">
        <v>0.6</v>
      </c>
    </row>
    <row r="9" spans="1:5" x14ac:dyDescent="0.25">
      <c r="A9" s="1" t="s">
        <v>10</v>
      </c>
      <c r="B9">
        <v>1</v>
      </c>
      <c r="C9" s="2">
        <v>0.8</v>
      </c>
    </row>
    <row r="10" spans="1:5" x14ac:dyDescent="0.25">
      <c r="A10" s="1" t="s">
        <v>11</v>
      </c>
      <c r="B10">
        <v>1</v>
      </c>
      <c r="C10" s="2">
        <v>0.57999999999999996</v>
      </c>
    </row>
    <row r="11" spans="1:5" x14ac:dyDescent="0.25">
      <c r="A11" s="1" t="s">
        <v>12</v>
      </c>
      <c r="B11">
        <v>1</v>
      </c>
      <c r="C11" s="2">
        <v>63.92</v>
      </c>
    </row>
    <row r="12" spans="1:5" x14ac:dyDescent="0.25">
      <c r="A12" s="1" t="s">
        <v>13</v>
      </c>
      <c r="B12">
        <v>1</v>
      </c>
      <c r="C12" s="2">
        <v>19.75</v>
      </c>
      <c r="E12" t="s">
        <v>27</v>
      </c>
    </row>
    <row r="13" spans="1:5" x14ac:dyDescent="0.25">
      <c r="A13" s="1" t="s">
        <v>14</v>
      </c>
      <c r="B13">
        <v>1</v>
      </c>
      <c r="C13" s="2">
        <f>(4.5/1.2)</f>
        <v>3.75</v>
      </c>
    </row>
    <row r="14" spans="1:5" x14ac:dyDescent="0.25">
      <c r="A14" s="1" t="s">
        <v>16</v>
      </c>
      <c r="B14">
        <v>1</v>
      </c>
      <c r="C14" s="2">
        <v>1.74</v>
      </c>
    </row>
    <row r="15" spans="1:5" x14ac:dyDescent="0.25">
      <c r="A15" s="1" t="s">
        <v>17</v>
      </c>
      <c r="B15">
        <v>2</v>
      </c>
      <c r="C15" s="2">
        <v>2.5299999999999998</v>
      </c>
    </row>
    <row r="16" spans="1:5" x14ac:dyDescent="0.25">
      <c r="A16" s="1" t="s">
        <v>18</v>
      </c>
      <c r="B16">
        <v>1</v>
      </c>
      <c r="C16" s="2">
        <v>1.79</v>
      </c>
    </row>
    <row r="17" spans="1:3" x14ac:dyDescent="0.25">
      <c r="A17" s="1" t="s">
        <v>19</v>
      </c>
      <c r="B17">
        <v>1</v>
      </c>
      <c r="C17" s="2">
        <f>(7.99/1.2)</f>
        <v>6.6583333333333341</v>
      </c>
    </row>
    <row r="18" spans="1:3" x14ac:dyDescent="0.25">
      <c r="A18" s="1" t="s">
        <v>20</v>
      </c>
      <c r="B18">
        <v>8</v>
      </c>
      <c r="C18" s="2">
        <v>0.48</v>
      </c>
    </row>
    <row r="19" spans="1:3" x14ac:dyDescent="0.25">
      <c r="A19" s="1" t="s">
        <v>21</v>
      </c>
      <c r="B19">
        <v>8</v>
      </c>
      <c r="C19" s="2">
        <v>4.99</v>
      </c>
    </row>
    <row r="20" spans="1:3" x14ac:dyDescent="0.25">
      <c r="A20" s="1" t="s">
        <v>22</v>
      </c>
      <c r="B20">
        <v>4</v>
      </c>
      <c r="C20" s="2">
        <v>5.22</v>
      </c>
    </row>
    <row r="21" spans="1:3" x14ac:dyDescent="0.25">
      <c r="A21" s="1" t="s">
        <v>23</v>
      </c>
      <c r="B21">
        <v>4</v>
      </c>
      <c r="C21" s="2">
        <f>(4.09/1.2)</f>
        <v>3.4083333333333332</v>
      </c>
    </row>
    <row r="22" spans="1:3" x14ac:dyDescent="0.25">
      <c r="A22" s="1" t="s">
        <v>24</v>
      </c>
      <c r="B22">
        <v>4</v>
      </c>
      <c r="C22" s="2">
        <v>3.88</v>
      </c>
    </row>
    <row r="23" spans="1:3" x14ac:dyDescent="0.25">
      <c r="A23" s="1" t="s">
        <v>25</v>
      </c>
      <c r="B23">
        <v>8</v>
      </c>
      <c r="C23" s="2">
        <v>6.53</v>
      </c>
    </row>
    <row r="24" spans="1:3" x14ac:dyDescent="0.25">
      <c r="A24" s="1" t="s">
        <v>26</v>
      </c>
      <c r="B24">
        <v>3</v>
      </c>
      <c r="C24" s="2">
        <v>5.25</v>
      </c>
    </row>
    <row r="25" spans="1:3" x14ac:dyDescent="0.25">
      <c r="C25" s="2"/>
    </row>
    <row r="26" spans="1:3" x14ac:dyDescent="0.25">
      <c r="C26" s="2"/>
    </row>
    <row r="27" spans="1:3" x14ac:dyDescent="0.25">
      <c r="C27" s="2"/>
    </row>
  </sheetData>
  <hyperlinks>
    <hyperlink ref="A2" r:id="rId1" xr:uid="{76756A62-A4C3-6644-AD89-E5A2D7810470}"/>
    <hyperlink ref="A3" r:id="rId2" xr:uid="{E08E3935-9248-F34F-AAB2-9190DB5B85AC}"/>
    <hyperlink ref="A4" r:id="rId3" xr:uid="{A029BF35-D0DC-EB49-86B7-A89CE01EDDA0}"/>
    <hyperlink ref="A5" r:id="rId4" xr:uid="{80C1A3D1-3F58-F343-A7F0-5F9804AD60D7}"/>
    <hyperlink ref="A6" r:id="rId5" xr:uid="{75E63F3F-8D22-DD49-8983-4F0A5B46C280}"/>
    <hyperlink ref="A7" r:id="rId6" xr:uid="{0056FFE4-1263-074F-B997-C26A29BC6886}"/>
    <hyperlink ref="A8" r:id="rId7" xr:uid="{BACED24E-1AC0-BA46-BAA4-AEBAA39C7E84}"/>
    <hyperlink ref="A9" r:id="rId8" xr:uid="{D936CD13-119F-7249-BD6C-52B808CDE2D2}"/>
    <hyperlink ref="A10" r:id="rId9" xr:uid="{4A5F3C3F-56EA-8546-AAB1-91C124ADF97E}"/>
    <hyperlink ref="A11" r:id="rId10" xr:uid="{66B4C2C0-EDD2-9646-8225-57F0319690BB}"/>
    <hyperlink ref="A13" r:id="rId11" xr:uid="{BB367A7E-DB9A-A649-9AF3-EF7C0543388E}"/>
    <hyperlink ref="A12" r:id="rId12" xr:uid="{AE2980A1-4915-8B40-9819-DE59579DA1D9}"/>
    <hyperlink ref="A16" r:id="rId13" xr:uid="{7B672FAC-EE01-D84D-89E6-7B0D0EA3D5FD}"/>
    <hyperlink ref="A14" r:id="rId14" xr:uid="{4AEDD372-041B-F44A-88EE-05AF1E1BAAA8}"/>
    <hyperlink ref="A15" r:id="rId15" xr:uid="{91FCDA13-2773-E44E-9B79-19F6C8C557AF}"/>
    <hyperlink ref="A17" r:id="rId16" xr:uid="{CF9CF94C-70B2-A84D-AA44-D43FD75D5D99}"/>
    <hyperlink ref="A18" r:id="rId17" xr:uid="{CBBDF8CE-F553-314B-B124-CA695BC8845A}"/>
    <hyperlink ref="A19" r:id="rId18" xr:uid="{63370C9C-AD45-6242-8E99-1729BB3701D7}"/>
    <hyperlink ref="A20" r:id="rId19" xr:uid="{D8850785-81B5-9A43-BC24-EDEEE20AA870}"/>
    <hyperlink ref="A21" r:id="rId20" xr:uid="{39165D8D-6CA2-7B47-A778-7B5103A167D9}"/>
    <hyperlink ref="A22" r:id="rId21" xr:uid="{1253C6D9-2F3F-6843-B96D-4C150B35AEAE}"/>
    <hyperlink ref="A23" r:id="rId22" xr:uid="{945B1B49-1893-034D-8521-92B2DDACCAA1}"/>
    <hyperlink ref="A24" r:id="rId23" xr:uid="{D18C4372-3E96-1643-BFF8-AF07DBED4BA6}"/>
  </hyperlinks>
  <pageMargins left="0.7" right="0.7" top="0.75" bottom="0.75" header="0.3" footer="0.3"/>
  <pageSetup paperSize="9" orientation="portrait" horizontalDpi="0" verticalDpi="0"/>
  <tableParts count="1">
    <tablePart r:id="rId2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Davey, Tommy</cp:lastModifiedBy>
  <cp:revision/>
  <cp:lastPrinted>2025-07-28T10:35:32Z</cp:lastPrinted>
  <dcterms:created xsi:type="dcterms:W3CDTF">2025-07-01T15:35:10Z</dcterms:created>
  <dcterms:modified xsi:type="dcterms:W3CDTF">2026-07-24T15:22:00Z</dcterms:modified>
  <cp:category/>
  <cp:contentStatus/>
</cp:coreProperties>
</file>